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GLOSS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sz val="9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14" customWidth="1" min="9" max="9"/>
    <col width="30" customWidth="1" min="10" max="10"/>
    <col width="35" customWidth="1" min="11" max="11"/>
    <col width="20" customWidth="1" min="12" max="12"/>
  </cols>
  <sheetData>
    <row r="1" ht="30" customHeight="1">
      <c r="A1" s="1" t="inlineStr">
        <is>
          <t>Q_ID</t>
        </is>
      </c>
      <c r="B1" s="1" t="inlineStr">
        <is>
          <t>POOL_ID</t>
        </is>
      </c>
      <c r="C1" s="1" t="inlineStr">
        <is>
          <t>CIBLE_NIVEAU</t>
        </is>
      </c>
      <c r="D1" s="1" t="inlineStr">
        <is>
          <t>LIBELLÉ_Q</t>
        </is>
      </c>
      <c r="E1" s="1" t="inlineStr">
        <is>
          <t>RÉPONSE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QA_STATUS</t>
        </is>
      </c>
      <c r="J1" s="1" t="inlineStr">
        <is>
          <t>FLAGS</t>
        </is>
      </c>
      <c r="K1" s="1" t="inlineStr">
        <is>
          <t>NOTES</t>
        </is>
      </c>
      <c r="L1" s="1" t="inlineStr">
        <is>
          <t>DÉCISION</t>
        </is>
      </c>
    </row>
    <row r="2">
      <c r="A2" s="2" t="inlineStr">
        <is>
          <t>QV-01-Q001</t>
        </is>
      </c>
      <c r="B2" s="2" t="inlineStr">
        <is>
          <t>QV-01</t>
        </is>
      </c>
      <c r="C2" s="2" t="inlineStr">
        <is>
          <t>N1</t>
        </is>
      </c>
      <c r="D2" s="2" t="inlineStr">
        <is>
          <t>[Question]</t>
        </is>
      </c>
      <c r="E2" s="2" t="inlineStr">
        <is>
          <t>[Réponse]</t>
        </is>
      </c>
      <c r="F2" s="2" t="inlineStr">
        <is>
          <t>[D1]</t>
        </is>
      </c>
      <c r="G2" s="2" t="inlineStr">
        <is>
          <t>[D2]</t>
        </is>
      </c>
      <c r="H2" s="2" t="inlineStr">
        <is>
          <t>[D3]</t>
        </is>
      </c>
      <c r="I2" s="2" t="inlineStr">
        <is>
          <t>PASS</t>
        </is>
      </c>
      <c r="J2" s="2" t="inlineStr"/>
      <c r="K2" s="2" t="inlineStr"/>
      <c r="L2" s="2" t="inlineStr">
        <is>
          <t>CONSERVER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20" customWidth="1" min="7" max="7"/>
  </cols>
  <sheetData>
    <row r="1" ht="30" customHeight="1">
      <c r="A1" s="1" t="inlineStr">
        <is>
          <t>POOL_ID</t>
        </is>
      </c>
      <c r="B1" s="1" t="inlineStr">
        <is>
          <t>TOTAL_Q</t>
        </is>
      </c>
      <c r="C1" s="1" t="inlineStr">
        <is>
          <t>PASS</t>
        </is>
      </c>
      <c r="D1" s="1" t="inlineStr">
        <is>
          <t>WARNING</t>
        </is>
      </c>
      <c r="E1" s="1" t="inlineStr">
        <is>
          <t>FAIL</t>
        </is>
      </c>
      <c r="F1" s="1" t="inlineStr">
        <is>
          <t>TAUX_PASS</t>
        </is>
      </c>
      <c r="G1" s="1" t="inlineStr">
        <is>
          <t>DÉCISION_GATE</t>
        </is>
      </c>
    </row>
    <row r="2">
      <c r="A2" s="2" t="inlineStr">
        <is>
          <t>QV-01</t>
        </is>
      </c>
      <c r="B2" s="2" t="inlineStr"/>
      <c r="C2" s="2">
        <f>COUNTIFS(QA!B:B,A2,QA!I:I,"PASS")</f>
        <v/>
      </c>
      <c r="D2" s="2">
        <f>COUNTIFS(QA!B:B,A2,QA!I:I,"WARNING")</f>
        <v/>
      </c>
      <c r="E2" s="2">
        <f>COUNTIFS(QA!B:B,A2,QA!I:I,"FAIL")</f>
        <v/>
      </c>
      <c r="F2" s="2">
        <f>C2/B2</f>
        <v/>
      </c>
      <c r="G2" s="2" t="inlineStr">
        <is>
          <t>GO / CONDITIONAL_GO / NO_GO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3" t="inlineStr">
        <is>
          <t>GLOSSAIRE — ÉTAPE B5</t>
        </is>
      </c>
    </row>
    <row r="2">
      <c r="A2" s="10" t="inlineStr">
        <is>
          <t>Source : glossaire_documentaire_factory.md — LECTURE SEULE</t>
        </is>
      </c>
    </row>
    <row r="4">
      <c r="A4" s="6" t="inlineStr">
        <is>
          <t>TERME</t>
        </is>
      </c>
      <c r="B4" s="6" t="inlineStr">
        <is>
          <t>DÉFINITION COURTE</t>
        </is>
      </c>
      <c r="C4" s="6" t="inlineStr">
        <is>
          <t>RÈGLE PRINCIPALE</t>
        </is>
      </c>
    </row>
    <row r="5">
      <c r="A5" s="7" t="inlineStr">
        <is>
          <t>QA_STATUS</t>
        </is>
      </c>
      <c r="B5" s="7" t="inlineStr">
        <is>
          <t>Résultat final des VALIDATIONS QA_STATUS.</t>
        </is>
      </c>
      <c r="C5" s="7" t="inlineStr">
        <is>
          <t>[RULE-QA-001] QA_STATUS=FAIL bloque l'export.</t>
        </is>
      </c>
    </row>
    <row r="6">
      <c r="A6" s="7" t="inlineStr">
        <is>
          <t>AUDIT_VALIDATION</t>
        </is>
      </c>
      <c r="B6" s="7" t="inlineStr">
        <is>
          <t>Validation humaine une question à la fois (énoncé, réponse, distractors, format).</t>
        </is>
      </c>
      <c r="C6" s="7" t="inlineStr">
        <is>
          <t>[RULE-AUDIT-VAL-001] Une question à la fois (jamais batch). Attendre validation humaine avant suivant.</t>
        </is>
      </c>
    </row>
    <row r="7">
      <c r="A7" s="7" t="inlineStr">
        <is>
          <t>POOL_COLLISION</t>
        </is>
      </c>
      <c r="B7" s="7" t="inlineStr">
        <is>
          <t>Réutilisation problématique d'un même angle dans plusieurs pools.</t>
        </is>
      </c>
      <c r="C7" s="7" t="inlineStr"/>
    </row>
    <row r="8">
      <c r="A8" s="7" t="inlineStr">
        <is>
          <t>COHERENCE_CULTURELLE</t>
        </is>
      </c>
      <c r="B8" s="7" t="inlineStr">
        <is>
          <t>Absence de contradiction chronologique, thématique ou factuelle dans un même quiz.</t>
        </is>
      </c>
      <c r="C8" s="7" t="inlineStr">
        <is>
          <t>[RULE-COH-001] La CONSISTENCY culturelle prime sur les quotas.</t>
        </is>
      </c>
    </row>
    <row r="9">
      <c r="A9" s="7" t="inlineStr">
        <is>
          <t>HARD_COLLISION</t>
        </is>
      </c>
      <c r="B9" s="7" t="inlineStr">
        <is>
          <t>Distractor identique à une réponse correcte ailleurs dans le pool.</t>
        </is>
      </c>
      <c r="C9" s="7" t="inlineStr">
        <is>
          <t>[RULE-HB-DIST-001] ---</t>
        </is>
      </c>
    </row>
    <row r="10">
      <c r="A10" s="7" t="inlineStr">
        <is>
          <t>SOFT_COLLISION</t>
        </is>
      </c>
      <c r="B10" s="7" t="inlineStr">
        <is>
          <t>Même entité réutilisée dans contextes différents (réponse Q1, distractor Q2).</t>
        </is>
      </c>
      <c r="C10" s="7" t="inlineStr">
        <is>
          <t>[RULE-SW-DIST-001] ---</t>
        </is>
      </c>
    </row>
    <row r="11">
      <c r="A11" s="7" t="inlineStr">
        <is>
          <t>STATUS_STANDARD</t>
        </is>
      </c>
      <c r="B11" s="7" t="inlineStr">
        <is>
          <t>Liste officielle des statuts documentaires autorisés.</t>
        </is>
      </c>
      <c r="C11" s="7" t="inlineStr">
        <is>
          <t>[RULE-STATUS-001] Tout autre format de statut est interdit.</t>
        </is>
      </c>
    </row>
    <row r="12">
      <c r="A12" s="7" t="inlineStr">
        <is>
          <t>TOKEN_OPTIMIZATION_MONITORING</t>
        </is>
      </c>
      <c r="B12" s="7" t="inlineStr">
        <is>
          <t>[non trouvé dans glossaire — vérifier source]</t>
        </is>
      </c>
      <c r="C12" s="7" t="inlineStr"/>
    </row>
    <row r="13">
      <c r="A13" s="7" t="inlineStr">
        <is>
          <t>RULES_EXTRACTION</t>
        </is>
      </c>
      <c r="B13" s="7" t="inlineStr">
        <is>
          <t>Extraction de règles généralisables depuis audit cobaye → promotion glossaire FACTORY.</t>
        </is>
      </c>
      <c r="C13" s="7" t="inlineStr">
        <is>
          <t>[RULE-RULES-EXT-001] Règles = généralisables (multi-thème). Edge cases documentés séparément.</t>
        </is>
      </c>
    </row>
    <row r="15">
      <c r="A15" s="8" t="inlineStr">
        <is>
          <t>⚠ ALERTES — TERMES POTENTIELLEMENT MANQUANTS</t>
        </is>
      </c>
    </row>
    <row r="16">
      <c r="A16" s="10" t="inlineStr">
        <is>
          <t>L'IA consigne ici tout terme utilisé dans cette étape mais absent du glossaire source.</t>
        </is>
      </c>
    </row>
    <row r="17">
      <c r="A17" s="9" t="inlineStr">
        <is>
          <t>MANQUANT</t>
        </is>
      </c>
      <c r="B17" s="9" t="inlineStr">
        <is>
          <t>TOKEN_OPTIMIZATION_MONITORING — présent dans config step mais absent du glossaire</t>
        </is>
      </c>
      <c r="C17" s="9" t="inlineStr">
        <is>
          <t>→ Ajouter dans glossaire_documentaire_factory.md</t>
        </is>
      </c>
    </row>
    <row r="19">
      <c r="A19" s="10" t="inlineStr">
        <is>
          <t>sync_glossaire.py — dernière exécution automatique — 2026-05-19</t>
        </is>
      </c>
    </row>
  </sheetData>
  <mergeCells count="5">
    <mergeCell ref="A19:C19"/>
    <mergeCell ref="A1:C1"/>
    <mergeCell ref="A2:C2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2026-05-19T22:10:15Z</dcterms:modified>
</cp:coreProperties>
</file>