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IVI_POOLS" sheetId="2" state="visible" r:id="rId2"/>
    <sheet xmlns:r="http://schemas.openxmlformats.org/officeDocument/2006/relationships" name="GLOSSAIRE" sheetId="3" state="visible" r:id="rId3"/>
    <sheet xmlns:r="http://schemas.openxmlformats.org/officeDocument/2006/relationships" name="GUARDR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4E79"/>
      <sz val="12"/>
    </font>
    <font>
      <name val="Arial"/>
      <i val="1"/>
      <color rgb="00595959"/>
      <sz val="8"/>
    </font>
    <font>
      <name val="Arial"/>
      <i val="1"/>
      <color rgb="00C00000"/>
      <sz val="8"/>
    </font>
    <font>
      <name val="Arial"/>
      <sz val="9"/>
    </font>
    <font>
      <name val="Arial"/>
      <b val="1"/>
      <color rgb="001F4E79"/>
      <sz val="9"/>
    </font>
    <font>
      <name val="Arial"/>
      <i val="1"/>
      <color rgb="007F6000"/>
      <sz val="9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55" customWidth="1" min="4" max="4"/>
    <col width="25" customWidth="1" min="5" max="5"/>
    <col width="12" customWidth="1" min="6" max="6"/>
    <col width="18" customWidth="1" min="7" max="7"/>
    <col width="20" customWidth="1" min="8" max="8"/>
    <col width="12" customWidth="1" min="9" max="9"/>
    <col width="12" customWidth="1" min="10" max="10"/>
  </cols>
  <sheetData>
    <row r="1" ht="30" customHeight="1">
      <c r="A1" s="11" t="inlineStr">
        <is>
          <t>Q_ID</t>
        </is>
      </c>
      <c r="B1" s="11" t="inlineStr">
        <is>
          <t>POOL_ID</t>
        </is>
      </c>
      <c r="C1" s="11" t="inlineStr">
        <is>
          <t>ANGLE_ID</t>
        </is>
      </c>
      <c r="D1" s="11" t="inlineStr">
        <is>
          <t>LIBELLÉ</t>
        </is>
      </c>
      <c r="E1" s="11" t="inlineStr">
        <is>
          <t>RÉPONSE</t>
        </is>
      </c>
      <c r="F1" s="11" t="inlineStr">
        <is>
          <t>CIBLE_NIVEAU</t>
        </is>
      </c>
      <c r="G1" s="11" t="inlineStr">
        <is>
          <t>TYPE_Q</t>
        </is>
      </c>
      <c r="H1" s="11" t="inlineStr">
        <is>
          <t>PAYOFF_TYPE</t>
        </is>
      </c>
      <c r="I1" s="11" t="inlineStr">
        <is>
          <t>FLAG_B2</t>
        </is>
      </c>
      <c r="J1" s="11" t="inlineStr">
        <is>
          <t>STATUT_B2</t>
        </is>
      </c>
    </row>
    <row r="2">
      <c r="A2" t="inlineStr">
        <is>
          <t>[POOL_ID]-Q001</t>
        </is>
      </c>
      <c r="B2" t="inlineStr">
        <is>
          <t>[POOL_ID]</t>
        </is>
      </c>
      <c r="C2" t="inlineStr">
        <is>
          <t>[ANGLE_ID]</t>
        </is>
      </c>
      <c r="D2" t="inlineStr">
        <is>
          <t>[Libellé question ?]</t>
        </is>
      </c>
      <c r="E2" t="inlineStr">
        <is>
          <t>[Réponse]</t>
        </is>
      </c>
      <c r="F2" t="inlineStr">
        <is>
          <t>[N1/N2/N3]</t>
        </is>
      </c>
      <c r="G2" t="inlineStr">
        <is>
          <t>[1-5]</t>
        </is>
      </c>
      <c r="H2" t="inlineStr">
        <is>
          <t>[surprise|collision|oralité|disproportion|faux_reflexe]</t>
        </is>
      </c>
      <c r="I2" t="inlineStr">
        <is>
          <t>[PASS|WARNING|FAIL]</t>
        </is>
      </c>
      <c r="J2" t="inlineStr">
        <is>
          <t>EN_COURS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  <col width="8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 ht="30" customHeight="1">
      <c r="A1" s="11" t="inlineStr">
        <is>
          <t>POOL_ID</t>
        </is>
      </c>
      <c r="B1" s="11" t="inlineStr">
        <is>
          <t>THÈME</t>
        </is>
      </c>
      <c r="C1" s="11" t="inlineStr">
        <is>
          <t>NIVEAU</t>
        </is>
      </c>
      <c r="D1" s="11" t="inlineStr">
        <is>
          <t>TYPE</t>
        </is>
      </c>
      <c r="E1" s="11" t="inlineStr">
        <is>
          <t>STOCK_CIBLE</t>
        </is>
      </c>
      <c r="F1" s="11" t="inlineStr">
        <is>
          <t>STOCK_ACTUEL</t>
        </is>
      </c>
      <c r="G1" s="11" t="inlineStr">
        <is>
          <t>ÉCART</t>
        </is>
      </c>
      <c r="H1" s="11" t="inlineStr">
        <is>
          <t>NB_ANGLES</t>
        </is>
      </c>
      <c r="I1" s="11" t="inlineStr">
        <is>
          <t>SAT_RISK</t>
        </is>
      </c>
      <c r="J1" s="11" t="inlineStr">
        <is>
          <t>STATUT</t>
        </is>
      </c>
    </row>
    <row r="2">
      <c r="A2" t="inlineStr">
        <is>
          <t>IF-SF-01</t>
        </is>
      </c>
      <c r="B2" t="inlineStr">
        <is>
          <t>Détails fondateurs — NOZ / Rapido / Lactalis</t>
        </is>
      </c>
      <c r="C2" t="inlineStr">
        <is>
          <t>N3</t>
        </is>
      </c>
      <c r="D2" t="inlineStr">
        <is>
          <t>IF-SF</t>
        </is>
      </c>
      <c r="E2" t="n">
        <v>8</v>
      </c>
      <c r="F2">
        <f>COUNTIF(QUESTIONS!B:B,A2)</f>
        <v/>
      </c>
      <c r="G2">
        <f>F2-E2</f>
        <v/>
      </c>
      <c r="H2" t="n">
        <v>3</v>
      </c>
      <c r="I2" t="inlineStr">
        <is>
          <t>MEDIUM</t>
        </is>
      </c>
      <c r="J2">
        <f>IF(F2&gt;=E2,"COMPLET","EN_COURS")</f>
        <v/>
      </c>
    </row>
    <row r="3">
      <c r="A3" t="inlineStr">
        <is>
          <t>IF-SF-02</t>
        </is>
      </c>
      <c r="B3" t="inlineStr">
        <is>
          <t>Connexions précises — fromages / Paré / Dynamo Kiev</t>
        </is>
      </c>
      <c r="C3" t="inlineStr">
        <is>
          <t>N3</t>
        </is>
      </c>
      <c r="D3" t="inlineStr">
        <is>
          <t>IF-SF</t>
        </is>
      </c>
      <c r="E3" t="n">
        <v>8</v>
      </c>
      <c r="F3">
        <f>COUNTIF(QUESTIONS!B:B,A3)</f>
        <v/>
      </c>
      <c r="G3">
        <f>F3-E3</f>
        <v/>
      </c>
      <c r="H3" t="n">
        <v>4</v>
      </c>
      <c r="I3" t="inlineStr">
        <is>
          <t>LOW</t>
        </is>
      </c>
      <c r="J3">
        <f>IF(F3&gt;=E3,"COMPLET","EN_COURS")</f>
        <v/>
      </c>
    </row>
    <row r="4">
      <c r="A4" t="inlineStr">
        <is>
          <t>IF-ROT-01</t>
        </is>
      </c>
      <c r="B4" t="inlineStr">
        <is>
          <t>Chiffres runtime — Ernée / hippodromes / Chaussée</t>
        </is>
      </c>
      <c r="C4" t="inlineStr">
        <is>
          <t>N3</t>
        </is>
      </c>
      <c r="D4" t="inlineStr">
        <is>
          <t>IF-ROT</t>
        </is>
      </c>
      <c r="E4" t="n">
        <v>12</v>
      </c>
      <c r="F4">
        <f>COUNTIF(QUESTIONS!B:B,A4)</f>
        <v/>
      </c>
      <c r="G4">
        <f>F4-E4</f>
        <v/>
      </c>
      <c r="H4" t="n">
        <v>4</v>
      </c>
      <c r="I4" t="inlineStr">
        <is>
          <t>MEDIUM</t>
        </is>
      </c>
      <c r="J4">
        <f>IF(F4&gt;=E4,"COMPLET","EN_COURS")</f>
        <v/>
      </c>
    </row>
    <row r="5">
      <c r="A5" t="inlineStr">
        <is>
          <t>IF-ROT-02</t>
        </is>
      </c>
      <c r="B5" t="inlineStr">
        <is>
          <t>Dates précises — NOZ / Rapido / Port-Salut / VandB</t>
        </is>
      </c>
      <c r="C5" t="inlineStr">
        <is>
          <t>N3</t>
        </is>
      </c>
      <c r="D5" t="inlineStr">
        <is>
          <t>IF-ROT</t>
        </is>
      </c>
      <c r="E5" t="n">
        <v>12</v>
      </c>
      <c r="F5">
        <f>COUNTIF(QUESTIONS!B:B,A5)</f>
        <v/>
      </c>
      <c r="G5">
        <f>F5-E5</f>
        <v/>
      </c>
      <c r="H5" t="n">
        <v>3</v>
      </c>
      <c r="I5" t="inlineStr">
        <is>
          <t>HIGH</t>
        </is>
      </c>
      <c r="J5">
        <f>IF(F5&gt;=E5,"COMPLET","EN_COURS")</f>
        <v/>
      </c>
    </row>
    <row r="6">
      <c r="A6" t="inlineStr">
        <is>
          <t>IF-ROT-03</t>
        </is>
      </c>
      <c r="B6" t="inlineStr">
        <is>
          <t>Connexions joueurs — Aubameyang / Omam-Biyik / etc.</t>
        </is>
      </c>
      <c r="C6" t="inlineStr">
        <is>
          <t>N3</t>
        </is>
      </c>
      <c r="D6" t="inlineStr">
        <is>
          <t>IF-ROT</t>
        </is>
      </c>
      <c r="E6" t="n">
        <v>12</v>
      </c>
      <c r="F6">
        <f>COUNTIF(QUESTIONS!B:B,A6)</f>
        <v/>
      </c>
      <c r="G6">
        <f>F6-E6</f>
        <v/>
      </c>
      <c r="H6" t="n">
        <v>5</v>
      </c>
      <c r="I6" t="inlineStr">
        <is>
          <t>MEDIUM</t>
        </is>
      </c>
      <c r="J6">
        <f>IF(F6&gt;=E6,"COMPLET","EN_COURS")</f>
        <v/>
      </c>
    </row>
    <row r="7">
      <c r="A7" t="inlineStr">
        <is>
          <t>QV-01</t>
        </is>
      </c>
      <c r="B7" t="inlineStr">
        <is>
          <t>Géants cachés — marques du quotidien</t>
        </is>
      </c>
      <c r="C7" t="inlineStr">
        <is>
          <t>N1</t>
        </is>
      </c>
      <c r="D7" t="inlineStr">
        <is>
          <t>QV</t>
        </is>
      </c>
      <c r="E7" t="n">
        <v>15</v>
      </c>
      <c r="F7">
        <f>COUNTIF(QUESTIONS!B:B,A7)</f>
        <v/>
      </c>
      <c r="G7">
        <f>F7-E7</f>
        <v/>
      </c>
      <c r="H7" t="n">
        <v>4</v>
      </c>
      <c r="I7" t="inlineStr">
        <is>
          <t>LOW</t>
        </is>
      </c>
      <c r="J7">
        <f>IF(F7&gt;=E7,"COMPLET","EN_COURS")</f>
        <v/>
      </c>
    </row>
    <row r="8">
      <c r="A8" t="inlineStr">
        <is>
          <t>QV-02</t>
        </is>
      </c>
      <c r="B8" t="inlineStr">
        <is>
          <t>Frigo français — fromages mayennais</t>
        </is>
      </c>
      <c r="C8" t="inlineStr">
        <is>
          <t>N1</t>
        </is>
      </c>
      <c r="D8" t="inlineStr">
        <is>
          <t>QV</t>
        </is>
      </c>
      <c r="E8" t="n">
        <v>15</v>
      </c>
      <c r="F8">
        <f>COUNTIF(QUESTIONS!B:B,A8)</f>
        <v/>
      </c>
      <c r="G8">
        <f>F8-E8</f>
        <v/>
      </c>
      <c r="H8" t="n">
        <v>4</v>
      </c>
      <c r="I8" t="inlineStr">
        <is>
          <t>MEDIUM</t>
        </is>
      </c>
      <c r="J8">
        <f>IF(F8&gt;=E8,"COMPLET","EN_COURS")</f>
        <v/>
      </c>
    </row>
    <row r="9">
      <c r="A9" t="inlineStr">
        <is>
          <t>QV-03</t>
        </is>
      </c>
      <c r="B9" t="inlineStr">
        <is>
          <t>Patois vivant — mots oraux</t>
        </is>
      </c>
      <c r="C9" t="inlineStr">
        <is>
          <t>N1</t>
        </is>
      </c>
      <c r="D9" t="inlineStr">
        <is>
          <t>QV</t>
        </is>
      </c>
      <c r="E9" t="n">
        <v>15</v>
      </c>
      <c r="F9">
        <f>COUNTIF(QUESTIONS!B:B,A9)</f>
        <v/>
      </c>
      <c r="G9">
        <f>F9-E9</f>
        <v/>
      </c>
      <c r="H9" t="n">
        <v>5</v>
      </c>
      <c r="I9" t="inlineStr">
        <is>
          <t>MEDIUM</t>
        </is>
      </c>
      <c r="J9">
        <f>IF(F9&gt;=E9,"COMPLET","EN_COURS")</f>
        <v/>
      </c>
    </row>
    <row r="10">
      <c r="A10" t="inlineStr">
        <is>
          <t>QV-04</t>
        </is>
      </c>
      <c r="B10" t="inlineStr">
        <is>
          <t>ORIGINES / CONFUSIONS — lieux + signal structurel</t>
        </is>
      </c>
      <c r="C10" t="inlineStr">
        <is>
          <t>N1</t>
        </is>
      </c>
      <c r="D10" t="inlineStr">
        <is>
          <t>QV</t>
        </is>
      </c>
      <c r="E10" t="n">
        <v>30</v>
      </c>
      <c r="F10">
        <f>COUNTIF(QUESTIONS!B:B,A10)</f>
        <v/>
      </c>
      <c r="G10">
        <f>F10-E10</f>
        <v/>
      </c>
      <c r="H10" t="n">
        <v>8</v>
      </c>
      <c r="I10" t="inlineStr">
        <is>
          <t>MEDIUM</t>
        </is>
      </c>
      <c r="J10">
        <f>IF(F10&gt;=E10,"COMPLET","EN_COURS")</f>
        <v/>
      </c>
    </row>
    <row r="11">
      <c r="A11" t="inlineStr">
        <is>
          <t>QV-05</t>
        </is>
      </c>
      <c r="B11" t="inlineStr">
        <is>
          <t>Figures nées à Laval</t>
        </is>
      </c>
      <c r="C11" t="inlineStr">
        <is>
          <t>N1</t>
        </is>
      </c>
      <c r="D11" t="inlineStr">
        <is>
          <t>QV</t>
        </is>
      </c>
      <c r="E11" t="n">
        <v>15</v>
      </c>
      <c r="F11">
        <f>COUNTIF(QUESTIONS!B:B,A11)</f>
        <v/>
      </c>
      <c r="G11">
        <f>F11-E11</f>
        <v/>
      </c>
      <c r="H11" t="n">
        <v>5</v>
      </c>
      <c r="I11" t="inlineStr">
        <is>
          <t>LOW</t>
        </is>
      </c>
      <c r="J11">
        <f>IF(F11&gt;=E11,"COMPLET","EN_COURS")</f>
        <v/>
      </c>
    </row>
    <row r="12">
      <c r="A12" t="inlineStr">
        <is>
          <t>QV-06</t>
        </is>
      </c>
      <c r="B12" t="inlineStr">
        <is>
          <t>Origines fondateurs — Rapido / Lactalis / V and B</t>
        </is>
      </c>
      <c r="C12" t="inlineStr">
        <is>
          <t>N2</t>
        </is>
      </c>
      <c r="D12" t="inlineStr">
        <is>
          <t>QV</t>
        </is>
      </c>
      <c r="E12" t="n">
        <v>15</v>
      </c>
      <c r="F12">
        <f>COUNTIF(QUESTIONS!B:B,A12)</f>
        <v/>
      </c>
      <c r="G12">
        <f>F12-E12</f>
        <v/>
      </c>
      <c r="H12" t="n">
        <v>3</v>
      </c>
      <c r="I12" t="inlineStr">
        <is>
          <t>HIGH</t>
        </is>
      </c>
      <c r="J12">
        <f>IF(F12&gt;=E12,"COMPLET","EN_COURS")</f>
        <v/>
      </c>
    </row>
    <row r="13">
      <c r="A13" t="inlineStr">
        <is>
          <t>QV-08</t>
        </is>
      </c>
      <c r="B13" t="inlineStr">
        <is>
          <t>Patois — phrases orales P1 / P2 / P3</t>
        </is>
      </c>
      <c r="C13" t="inlineStr">
        <is>
          <t>N2</t>
        </is>
      </c>
      <c r="D13" t="inlineStr">
        <is>
          <t>QV</t>
        </is>
      </c>
      <c r="E13" t="n">
        <v>15</v>
      </c>
      <c r="F13">
        <f>COUNTIF(QUESTIONS!B:B,A13)</f>
        <v/>
      </c>
      <c r="G13">
        <f>F13-E13</f>
        <v/>
      </c>
      <c r="H13" t="n">
        <v>4</v>
      </c>
      <c r="I13" t="inlineStr">
        <is>
          <t>MEDIUM</t>
        </is>
      </c>
      <c r="J13">
        <f>IF(F13&gt;=E13,"COMPLET","EN_COURS")</f>
        <v/>
      </c>
    </row>
    <row r="14">
      <c r="A14" t="inlineStr">
        <is>
          <t>QV-09</t>
        </is>
      </c>
      <c r="B14" t="inlineStr">
        <is>
          <t>SPORT_PARALLELE — cyclisme + chevaux + Montebrun</t>
        </is>
      </c>
      <c r="C14" t="inlineStr">
        <is>
          <t>N2</t>
        </is>
      </c>
      <c r="D14" t="inlineStr">
        <is>
          <t>QV</t>
        </is>
      </c>
      <c r="E14" t="n">
        <v>30</v>
      </c>
      <c r="F14">
        <f>COUNTIF(QUESTIONS!B:B,A14)</f>
        <v/>
      </c>
      <c r="G14">
        <f>F14-E14</f>
        <v/>
      </c>
      <c r="H14" t="n">
        <v>5</v>
      </c>
      <c r="I14" t="inlineStr">
        <is>
          <t>HIGH</t>
        </is>
      </c>
      <c r="J14">
        <f>IF(F14&gt;=E14,"COMPLET","EN_COURS")</f>
        <v/>
      </c>
    </row>
    <row r="15">
      <c r="A15" t="inlineStr">
        <is>
          <t>QV-11</t>
        </is>
      </c>
      <c r="B15" t="inlineStr">
        <is>
          <t>Lieux historiques — Grottes / Pontmain / Jublains</t>
        </is>
      </c>
      <c r="C15" t="inlineStr">
        <is>
          <t>N2</t>
        </is>
      </c>
      <c r="D15" t="inlineStr">
        <is>
          <t>QV</t>
        </is>
      </c>
      <c r="E15" t="n">
        <v>15</v>
      </c>
      <c r="F15">
        <f>COUNTIF(QUESTIONS!B:B,A15)</f>
        <v/>
      </c>
      <c r="G15">
        <f>F15-E15</f>
        <v/>
      </c>
      <c r="H15" t="n">
        <v>3</v>
      </c>
      <c r="I15" t="inlineStr">
        <is>
          <t>HIGH</t>
        </is>
      </c>
      <c r="J15">
        <f>IF(F15&gt;=E15,"COMPLET","EN_COURS")</f>
        <v/>
      </c>
    </row>
    <row r="16">
      <c r="A16" t="inlineStr">
        <is>
          <t>QV-12</t>
        </is>
      </c>
      <c r="B16" t="inlineStr">
        <is>
          <t>Figures &amp; connexions — Paré/Jarry/Gerbault + Football</t>
        </is>
      </c>
      <c r="C16" t="inlineStr">
        <is>
          <t>N2</t>
        </is>
      </c>
      <c r="D16" t="inlineStr">
        <is>
          <t>QV</t>
        </is>
      </c>
      <c r="E16" t="n">
        <v>30</v>
      </c>
      <c r="F16">
        <f>COUNTIF(QUESTIONS!B:B,A16)</f>
        <v/>
      </c>
      <c r="G16">
        <f>F16-E16</f>
        <v/>
      </c>
      <c r="H16" t="n">
        <v>8</v>
      </c>
      <c r="I16" t="inlineStr">
        <is>
          <t>LOW</t>
        </is>
      </c>
      <c r="J16">
        <f>IF(F16&gt;=E16,"COMPLET","EN_COURS")</f>
        <v/>
      </c>
    </row>
    <row r="17">
      <c r="A17" t="inlineStr">
        <is>
          <t>QV-13</t>
        </is>
      </c>
      <c r="B17" t="inlineStr">
        <is>
          <t>Lieux insolites — Tatin / Avesnières / Echologia etc.</t>
        </is>
      </c>
      <c r="C17" t="inlineStr">
        <is>
          <t>N2</t>
        </is>
      </c>
      <c r="D17" t="inlineStr">
        <is>
          <t>QV</t>
        </is>
      </c>
      <c r="E17" t="n">
        <v>15</v>
      </c>
      <c r="F17">
        <f>COUNTIF(QUESTIONS!B:B,A17)</f>
        <v/>
      </c>
      <c r="G17">
        <f>F17-E17</f>
        <v/>
      </c>
      <c r="H17" t="n">
        <v>6</v>
      </c>
      <c r="I17" t="inlineStr">
        <is>
          <t>LOW</t>
        </is>
      </c>
      <c r="J17">
        <f>IF(F17&gt;=E17,"COMPLET","EN_COURS")</f>
        <v/>
      </c>
    </row>
    <row r="18">
      <c r="A18" t="inlineStr">
        <is>
          <t>QV-14</t>
        </is>
      </c>
      <c r="B18" t="inlineStr">
        <is>
          <t>Patois — mots détails</t>
        </is>
      </c>
      <c r="C18" t="inlineStr">
        <is>
          <t>N2</t>
        </is>
      </c>
      <c r="D18" t="inlineStr">
        <is>
          <t>QV</t>
        </is>
      </c>
      <c r="E18" t="n">
        <v>15</v>
      </c>
      <c r="F18">
        <f>COUNTIF(QUESTIONS!B:B,A18)</f>
        <v/>
      </c>
      <c r="G18">
        <f>F18-E18</f>
        <v/>
      </c>
      <c r="H18" t="n">
        <v>9</v>
      </c>
      <c r="I18" t="inlineStr">
        <is>
          <t>MEDIUM</t>
        </is>
      </c>
      <c r="J18">
        <f>IF(F18&gt;=E18,"COMPLET","EN_COURS")</f>
        <v/>
      </c>
    </row>
    <row r="19">
      <c r="A19" s="11" t="inlineStr">
        <is>
          <t>TOTAL</t>
        </is>
      </c>
      <c r="B19" t="inlineStr"/>
      <c r="C19" t="inlineStr"/>
      <c r="D19" t="inlineStr"/>
      <c r="E19" t="n">
        <v>277</v>
      </c>
      <c r="F19">
        <f>SUM(F2:F18)</f>
        <v/>
      </c>
      <c r="G19">
        <f>F19-E19</f>
        <v/>
      </c>
      <c r="H19" t="inlineStr"/>
      <c r="I19" t="inlineStr"/>
      <c r="J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55" customWidth="1" min="3" max="3"/>
  </cols>
  <sheetData>
    <row r="1">
      <c r="A1" s="3" t="inlineStr">
        <is>
          <t>GLOSSAIRE — ÉTAPE B2</t>
        </is>
      </c>
    </row>
    <row r="2">
      <c r="A2" s="10" t="inlineStr">
        <is>
          <t>Source : glossaire_documentaire_factory.md — LECTURE SEULE</t>
        </is>
      </c>
    </row>
    <row r="4">
      <c r="A4" s="6" t="inlineStr">
        <is>
          <t>TERME</t>
        </is>
      </c>
      <c r="B4" s="6" t="inlineStr">
        <is>
          <t>DÉFINITION COURTE</t>
        </is>
      </c>
      <c r="C4" s="6" t="inlineStr">
        <is>
          <t>RÈGLE PRINCIPALE</t>
        </is>
      </c>
    </row>
    <row r="5">
      <c r="A5" s="7" t="inlineStr">
        <is>
          <t>POOL</t>
        </is>
      </c>
      <c r="B5" s="7" t="inlineStr">
        <is>
          <t>Unité opérationnelle contenant un stock de questions CONSISTENCY_VALIDATED.</t>
        </is>
      </c>
      <c r="C5" s="7" t="inlineStr"/>
    </row>
    <row r="6">
      <c r="A6" s="7" t="inlineStr">
        <is>
          <t>IF_SF</t>
        </is>
      </c>
      <c r="B6" s="7" t="inlineStr">
        <is>
          <t>Pool d'incontournables semi-fixes.</t>
        </is>
      </c>
      <c r="C6" s="7" t="inlineStr">
        <is>
          <t>[RULE-IFS-001] Les angles IF-SF ne peuvent pas être réutilisés dans les QV.</t>
        </is>
      </c>
    </row>
    <row r="7">
      <c r="A7" s="7" t="inlineStr">
        <is>
          <t>IF_ROT</t>
        </is>
      </c>
      <c r="B7" s="7" t="inlineStr">
        <is>
          <t>Pool d'incontournables rotatifs.</t>
        </is>
      </c>
      <c r="C7" s="7" t="inlineStr">
        <is>
          <t>[RULE-IFR-001] Les angles IF-ROT sont interdits dans les QV.</t>
        </is>
      </c>
    </row>
    <row r="8">
      <c r="A8" s="7" t="inlineStr">
        <is>
          <t>QV</t>
        </is>
      </c>
      <c r="B8" s="7" t="inlineStr">
        <is>
          <t>Questions Variables.</t>
        </is>
      </c>
      <c r="C8" s="7" t="inlineStr">
        <is>
          <t>[RULE-QV-001] Les QV doivent maximiser la diversité documentaire.</t>
        </is>
      </c>
    </row>
    <row r="9">
      <c r="A9" s="7" t="inlineStr">
        <is>
          <t>POOL_COLLISION</t>
        </is>
      </c>
      <c r="B9" s="7" t="inlineStr">
        <is>
          <t>Réutilisation problématique d'un même angle dans plusieurs pools.</t>
        </is>
      </c>
      <c r="C9" s="7" t="inlineStr"/>
    </row>
    <row r="10">
      <c r="A10" s="7" t="inlineStr">
        <is>
          <t>ONBOARDING_FLUIDE</t>
        </is>
      </c>
      <c r="B10" s="7" t="inlineStr">
        <is>
          <t>Présence d'au moins 3 questions N1 dans les 5 premières questions d'une partie.</t>
        </is>
      </c>
      <c r="C10" s="7" t="inlineStr"/>
    </row>
    <row r="11">
      <c r="A11" s="7" t="inlineStr">
        <is>
          <t>COHERENCE_CULTURELLE</t>
        </is>
      </c>
      <c r="B11" s="7" t="inlineStr">
        <is>
          <t>Absence de contradiction chronologique, thématique ou factuelle dans un même quiz.</t>
        </is>
      </c>
      <c r="C11" s="7" t="inlineStr">
        <is>
          <t>[RULE-COH-001] La CONSISTENCY culturelle prime sur les quotas.</t>
        </is>
      </c>
    </row>
    <row r="12">
      <c r="A12" s="7" t="inlineStr">
        <is>
          <t>ANGLE_DOCUMENTAIRE</t>
        </is>
      </c>
      <c r="B12" s="7" t="inlineStr">
        <is>
          <t>Aspect précis et exploitable d'un item pouvant produire une question distincte.</t>
        </is>
      </c>
      <c r="C12" s="7" t="inlineStr">
        <is>
          <t>[RULE-ANGLE-001] Les micro-variantes artificielles doivent être évitées.</t>
        </is>
      </c>
    </row>
    <row r="13">
      <c r="A13" s="7" t="inlineStr">
        <is>
          <t>ANGLE_ASSIGNMENT</t>
        </is>
      </c>
      <c r="B13" s="7" t="inlineStr">
        <is>
          <t>Assignation explicite d'un angle à un pool unique.</t>
        </is>
      </c>
      <c r="C13" s="7" t="inlineStr">
        <is>
          <t>[RULE-ANGLE-002] Un angle assigné à un pool est interdit dans les autres pools.</t>
        </is>
      </c>
    </row>
    <row r="14">
      <c r="A14" s="7" t="inlineStr">
        <is>
          <t>STATUS_STANDARD</t>
        </is>
      </c>
      <c r="B14" s="7" t="inlineStr">
        <is>
          <t>Liste officielle des statuts documentaires autorisés.</t>
        </is>
      </c>
      <c r="C14" s="7" t="inlineStr">
        <is>
          <t>[RULE-STATUS-001] Tout autre format de statut est interdit.</t>
        </is>
      </c>
    </row>
    <row r="15">
      <c r="A15" s="7" t="inlineStr">
        <is>
          <t>TOKEN_OPTIMIZATION_MONITORING</t>
        </is>
      </c>
      <c r="B15" s="7" t="inlineStr">
        <is>
          <t>[non trouvé dans glossaire — vérifier source]</t>
        </is>
      </c>
      <c r="C15" s="7" t="inlineStr"/>
    </row>
    <row r="16">
      <c r="A16" s="7" t="inlineStr">
        <is>
          <t>DECISION_GATE</t>
        </is>
      </c>
      <c r="B16" s="7" t="inlineStr">
        <is>
          <t>Mécanisme de validation B3 après PASS 2, avant PASS 3 ou export.</t>
        </is>
      </c>
      <c r="C16" s="7" t="inlineStr">
        <is>
          <t>[RULE-HB-DIST-004] ---</t>
        </is>
      </c>
    </row>
    <row r="18">
      <c r="A18" s="8" t="inlineStr">
        <is>
          <t>⚠ ALERTES — TERMES POTENTIELLEMENT MANQUANTS</t>
        </is>
      </c>
    </row>
    <row r="19">
      <c r="A19" s="10" t="inlineStr">
        <is>
          <t>L'IA consigne ici tout terme utilisé dans cette étape mais absent du glossaire source.</t>
        </is>
      </c>
    </row>
    <row r="20">
      <c r="A20" s="9" t="inlineStr">
        <is>
          <t>MANQUANT</t>
        </is>
      </c>
      <c r="B20" s="9" t="inlineStr">
        <is>
          <t>TOKEN_OPTIMIZATION_MONITORING — présent dans config step mais absent du glossaire</t>
        </is>
      </c>
      <c r="C20" s="9" t="inlineStr">
        <is>
          <t>→ Ajouter dans glossaire_documentaire_factory.md</t>
        </is>
      </c>
    </row>
    <row r="22">
      <c r="A22" s="10" t="inlineStr">
        <is>
          <t>sync_glossaire.py — dernière exécution automatique — 2026-05-19</t>
        </is>
      </c>
    </row>
  </sheetData>
  <mergeCells count="5">
    <mergeCell ref="A19:C19"/>
    <mergeCell ref="A1:C1"/>
    <mergeCell ref="A22:C22"/>
    <mergeCell ref="A18:C18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8" customWidth="1" min="3" max="3"/>
  </cols>
  <sheetData>
    <row r="1">
      <c r="A1" s="12" t="inlineStr">
        <is>
          <t>GUARDRAILS B2 — MAYENNE FACTORY V2</t>
        </is>
      </c>
    </row>
    <row r="3">
      <c r="A3" s="11" t="inlineStr">
        <is>
          <t>RÈGLE</t>
        </is>
      </c>
      <c r="B3" s="11" t="inlineStr">
        <is>
          <t>VALEUR</t>
        </is>
      </c>
      <c r="C3" s="11" t="inlineStr">
        <is>
          <t>FLAG</t>
        </is>
      </c>
    </row>
    <row r="4">
      <c r="A4" t="inlineStr">
        <is>
          <t>LONGUEUR CIBLE (mots)</t>
        </is>
      </c>
      <c r="B4" t="inlineStr">
        <is>
          <t>6–9</t>
        </is>
      </c>
      <c r="C4" t="inlineStr">
        <is>
          <t>—</t>
        </is>
      </c>
    </row>
    <row r="5">
      <c r="A5" t="inlineStr">
        <is>
          <t>LONGUEUR ACCEPTABLE (mots)</t>
        </is>
      </c>
      <c r="B5" t="inlineStr">
        <is>
          <t>10–13</t>
        </is>
      </c>
      <c r="C5" t="inlineStr">
        <is>
          <t>WARNING</t>
        </is>
      </c>
    </row>
    <row r="6">
      <c r="A6" t="inlineStr">
        <is>
          <t>LONGUEUR FAIL (mots)</t>
        </is>
      </c>
      <c r="B6" t="inlineStr">
        <is>
          <t>≥ 14</t>
        </is>
      </c>
      <c r="C6" t="inlineStr">
        <is>
          <t>FAIL</t>
        </is>
      </c>
    </row>
    <row r="8">
      <c r="A8" t="inlineStr">
        <is>
          <t>PAYOFF_TYPE obligatoire</t>
        </is>
      </c>
      <c r="B8" t="inlineStr">
        <is>
          <t>surprise / collision / oralité / disproportion / faux_reflexe</t>
        </is>
      </c>
      <c r="C8" t="inlineStr">
        <is>
          <t>FAIL si absent</t>
        </is>
      </c>
    </row>
    <row r="9">
      <c r="A9" t="inlineStr">
        <is>
          <t>Min types PAYOFF par pool</t>
        </is>
      </c>
      <c r="B9" t="inlineStr">
        <is>
          <t>3 types distincts</t>
        </is>
      </c>
      <c r="C9" t="inlineStr">
        <is>
          <t>WARNING si &lt;3</t>
        </is>
      </c>
    </row>
    <row r="11">
      <c r="A11" t="inlineStr">
        <is>
          <t>School feeling</t>
        </is>
      </c>
      <c r="B11" t="inlineStr">
        <is>
          <t>question type cours / définition académique</t>
        </is>
      </c>
      <c r="C11" t="inlineStr">
        <is>
          <t>FAIL</t>
        </is>
      </c>
    </row>
    <row r="12">
      <c r="A12" t="inlineStr">
        <is>
          <t>Tourism brochure</t>
        </is>
      </c>
      <c r="B12" t="inlineStr">
        <is>
          <t>valorisation territoriale / patrimoine officiel</t>
        </is>
      </c>
      <c r="C12" t="inlineStr">
        <is>
          <t>FAIL</t>
        </is>
      </c>
    </row>
    <row r="13">
      <c r="A13" t="inlineStr">
        <is>
          <t>Encyclopédie</t>
        </is>
      </c>
      <c r="B13" t="inlineStr">
        <is>
          <t>liste / explication / contexte lourd</t>
        </is>
      </c>
      <c r="C13" t="inlineStr">
        <is>
          <t>FAIL</t>
        </is>
      </c>
    </row>
    <row r="14">
      <c r="A14" t="inlineStr">
        <is>
          <t>Réponse dans libellé</t>
        </is>
      </c>
      <c r="B14" t="inlineStr">
        <is>
          <t>réponse devinable depuis la question</t>
        </is>
      </c>
      <c r="C14" t="inlineStr">
        <is>
          <t>FAIL</t>
        </is>
      </c>
    </row>
    <row r="15">
      <c r="A15" t="inlineStr">
        <is>
          <t>Formulation Wikipedia</t>
        </is>
      </c>
      <c r="B15" t="inlineStr">
        <is>
          <t>ton institutionnel / phrasing non oral</t>
        </is>
      </c>
      <c r="C15" t="inlineStr">
        <is>
          <t>FAIL</t>
        </is>
      </c>
    </row>
    <row r="17">
      <c r="A17" t="inlineStr">
        <is>
          <t>Série TYPE_Q identique</t>
        </is>
      </c>
      <c r="B17" t="inlineStr">
        <is>
          <t>≥ 3 consécutifs dans le pool</t>
        </is>
      </c>
      <c r="C17" t="inlineStr">
        <is>
          <t>WARNING</t>
        </is>
      </c>
    </row>
    <row r="18">
      <c r="A18" t="inlineStr">
        <is>
          <t>Angle recyclé</t>
        </is>
      </c>
      <c r="B18" t="inlineStr">
        <is>
          <t>même ANGLE_ID utilisé 2×</t>
        </is>
      </c>
      <c r="C18" t="inlineStr">
        <is>
          <t>FAIL</t>
        </is>
      </c>
    </row>
    <row r="19">
      <c r="A19" t="inlineStr">
        <is>
          <t>Même mécanique consécutive</t>
        </is>
      </c>
      <c r="B19" t="inlineStr">
        <is>
          <t>2+ questions même PAYOFF_TYPE de suite</t>
        </is>
      </c>
      <c r="C19" t="inlineStr">
        <is>
          <t>WARNING</t>
        </is>
      </c>
    </row>
    <row r="21">
      <c r="A21" t="inlineStr">
        <is>
          <t>CLUSTER_07</t>
        </is>
      </c>
      <c r="B21" t="inlineStr">
        <is>
          <t>LOCKED — aucune génération sans gate humaine</t>
        </is>
      </c>
      <c r="C21" t="inlineStr">
        <is>
          <t>FAIL auto</t>
        </is>
      </c>
    </row>
    <row r="23">
      <c r="A23" t="inlineStr">
        <is>
          <t>POOLS À RISQUE SATURATION</t>
        </is>
      </c>
      <c r="B23" t="inlineStr">
        <is>
          <t>SAT_RISK=HIGH : QV-06 / QV-11 / QV-14 / IF-ROT-02</t>
        </is>
      </c>
      <c r="C23" t="inlineStr">
        <is>
          <t>WATCH</t>
        </is>
      </c>
    </row>
    <row r="24">
      <c r="A24" t="inlineStr">
        <is>
          <t>POOLS ANGLES LIMITÉS (3)</t>
        </is>
      </c>
      <c r="B24" t="inlineStr">
        <is>
          <t>QV-06 / QV-11 / IF-SF-01 / IF-ROT-02 — générer avec soin</t>
        </is>
      </c>
      <c r="C24" t="inlineStr">
        <is>
          <t>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2026-05-18T11:57:28Z</dcterms:created>
  <dcterms:modified xmlns:dcterms="http://purl.org/dc/terms/" xmlns:xsi="http://www.w3.org/2001/XMLSchema-instance" xsi:type="dcterms:W3CDTF">2026-05-20T12:27:11Z</dcterms:modified>
</cp:coreProperties>
</file>