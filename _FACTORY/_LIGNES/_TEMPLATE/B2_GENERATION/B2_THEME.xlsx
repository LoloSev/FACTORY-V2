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IVI_POOLS" sheetId="2" state="visible" r:id="rId2"/>
    <sheet xmlns:r="http://schemas.openxmlformats.org/officeDocument/2006/relationships" name="GLOSS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55" customWidth="1" min="4" max="4"/>
    <col width="30" customWidth="1" min="5" max="5"/>
    <col width="14" customWidth="1" min="6" max="6"/>
    <col width="20" customWidth="1" min="7" max="7"/>
    <col width="14" customWidth="1" min="8" max="8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ANGLE_ID</t>
        </is>
      </c>
      <c r="D1" s="1" t="inlineStr">
        <is>
          <t>LIBELLÉ</t>
        </is>
      </c>
      <c r="E1" s="1" t="inlineStr">
        <is>
          <t>RÉPONSE</t>
        </is>
      </c>
      <c r="F1" s="1" t="inlineStr">
        <is>
          <t>CIBLE_NIVEAU</t>
        </is>
      </c>
      <c r="G1" s="1" t="inlineStr">
        <is>
          <t>TYPE_Q</t>
        </is>
      </c>
      <c r="H1" s="1" t="inlineStr">
        <is>
          <t>STATUT_B2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[THEME]-[CAT]-001-A</t>
        </is>
      </c>
      <c r="D2" s="2" t="inlineStr">
        <is>
          <t>[Texte de la question ?]</t>
        </is>
      </c>
      <c r="E2" s="2" t="inlineStr">
        <is>
          <t>[Réponse correcte]</t>
        </is>
      </c>
      <c r="F2" s="2" t="inlineStr">
        <is>
          <t>N1</t>
        </is>
      </c>
      <c r="G2" s="2" t="inlineStr">
        <is>
          <t>1-Identification</t>
        </is>
      </c>
      <c r="H2" s="2" t="inlineStr">
        <is>
          <t>EN_COURS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0" customWidth="1" min="5" max="5"/>
    <col width="15" customWidth="1" min="6" max="6"/>
  </cols>
  <sheetData>
    <row r="1" ht="30" customHeight="1">
      <c r="A1" s="1" t="inlineStr">
        <is>
          <t>POOL_ID</t>
        </is>
      </c>
      <c r="B1" s="1" t="inlineStr">
        <is>
          <t>CIBLE_NIVEAU</t>
        </is>
      </c>
      <c r="C1" s="1" t="inlineStr">
        <is>
          <t>STOCK_CIBLE</t>
        </is>
      </c>
      <c r="D1" s="1" t="inlineStr">
        <is>
          <t>STOCK_ACTUEL</t>
        </is>
      </c>
      <c r="E1" s="1" t="inlineStr">
        <is>
          <t>ÉCART</t>
        </is>
      </c>
      <c r="F1" s="1" t="inlineStr">
        <is>
          <t>STATUT</t>
        </is>
      </c>
    </row>
    <row r="2">
      <c r="A2" s="2" t="inlineStr">
        <is>
          <t>QV-01</t>
        </is>
      </c>
      <c r="B2" s="2" t="inlineStr">
        <is>
          <t>N1</t>
        </is>
      </c>
      <c r="C2" s="2" t="n">
        <v>15</v>
      </c>
      <c r="D2" s="2">
        <f>COUNTIF(QUESTIONS!B:B,A2)</f>
        <v/>
      </c>
      <c r="E2" s="2">
        <f>D2-C2</f>
        <v/>
      </c>
      <c r="F2" s="2" t="inlineStr">
        <is>
          <t>EN_COURS / COMPLET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3" t="inlineStr">
        <is>
          <t>GLOSSAIRE — ÉTAPE B2</t>
        </is>
      </c>
    </row>
    <row r="2">
      <c r="A2" s="10" t="inlineStr">
        <is>
          <t>Source : glossaire_documentaire_factory.md — LECTURE SEULE</t>
        </is>
      </c>
    </row>
    <row r="4">
      <c r="A4" s="6" t="inlineStr">
        <is>
          <t>TERME</t>
        </is>
      </c>
      <c r="B4" s="6" t="inlineStr">
        <is>
          <t>DÉFINITION COURTE</t>
        </is>
      </c>
      <c r="C4" s="6" t="inlineStr">
        <is>
          <t>RÈGLE PRINCIPALE</t>
        </is>
      </c>
    </row>
    <row r="5">
      <c r="A5" s="7" t="inlineStr">
        <is>
          <t>POOL</t>
        </is>
      </c>
      <c r="B5" s="7" t="inlineStr">
        <is>
          <t>Unité opérationnelle contenant un stock de questions CONSISTENCY_VALIDATED.</t>
        </is>
      </c>
      <c r="C5" s="7" t="inlineStr"/>
    </row>
    <row r="6">
      <c r="A6" s="7" t="inlineStr">
        <is>
          <t>IF_SF</t>
        </is>
      </c>
      <c r="B6" s="7" t="inlineStr">
        <is>
          <t>Pool d'incontournables semi-fixes.</t>
        </is>
      </c>
      <c r="C6" s="7" t="inlineStr">
        <is>
          <t>[RULE-IFS-001] Les angles IF-SF ne peuvent pas être réutilisés dans les QV.</t>
        </is>
      </c>
    </row>
    <row r="7">
      <c r="A7" s="7" t="inlineStr">
        <is>
          <t>IF_ROT</t>
        </is>
      </c>
      <c r="B7" s="7" t="inlineStr">
        <is>
          <t>Pool d'incontournables rotatifs.</t>
        </is>
      </c>
      <c r="C7" s="7" t="inlineStr">
        <is>
          <t>[RULE-IFR-001] Les angles IF-ROT sont interdits dans les QV.</t>
        </is>
      </c>
    </row>
    <row r="8">
      <c r="A8" s="7" t="inlineStr">
        <is>
          <t>QV</t>
        </is>
      </c>
      <c r="B8" s="7" t="inlineStr">
        <is>
          <t>Questions Variables.</t>
        </is>
      </c>
      <c r="C8" s="7" t="inlineStr">
        <is>
          <t>[RULE-QV-001] Les QV doivent maximiser la diversité documentaire.</t>
        </is>
      </c>
    </row>
    <row r="9">
      <c r="A9" s="7" t="inlineStr">
        <is>
          <t>POOL_COLLISION</t>
        </is>
      </c>
      <c r="B9" s="7" t="inlineStr">
        <is>
          <t>Réutilisation problématique d'un même angle dans plusieurs pools.</t>
        </is>
      </c>
      <c r="C9" s="7" t="inlineStr"/>
    </row>
    <row r="10">
      <c r="A10" s="7" t="inlineStr">
        <is>
          <t>ONBOARDING_FLUIDE</t>
        </is>
      </c>
      <c r="B10" s="7" t="inlineStr">
        <is>
          <t>Présence d'au moins 3 questions N1 dans les 5 premières questions d'une partie.</t>
        </is>
      </c>
      <c r="C10" s="7" t="inlineStr"/>
    </row>
    <row r="11">
      <c r="A11" s="7" t="inlineStr">
        <is>
          <t>COHERENCE_CULTURELLE</t>
        </is>
      </c>
      <c r="B11" s="7" t="inlineStr">
        <is>
          <t>Absence de contradiction chronologique, thématique ou factuelle dans un même quiz.</t>
        </is>
      </c>
      <c r="C11" s="7" t="inlineStr">
        <is>
          <t>[RULE-COH-001] La CONSISTENCY culturelle prime sur les quotas.</t>
        </is>
      </c>
    </row>
    <row r="12">
      <c r="A12" s="7" t="inlineStr">
        <is>
          <t>ANGLE_DOCUMENTAIRE</t>
        </is>
      </c>
      <c r="B12" s="7" t="inlineStr">
        <is>
          <t>Aspect précis et exploitable d'un item pouvant produire une question distincte.</t>
        </is>
      </c>
      <c r="C12" s="7" t="inlineStr">
        <is>
          <t>[RULE-ANGLE-001] Les micro-variantes artificielles doivent être évitées.</t>
        </is>
      </c>
    </row>
    <row r="13">
      <c r="A13" s="7" t="inlineStr">
        <is>
          <t>ANGLE_ASSIGNMENT</t>
        </is>
      </c>
      <c r="B13" s="7" t="inlineStr">
        <is>
          <t>Assignation explicite d'un angle à un pool unique.</t>
        </is>
      </c>
      <c r="C13" s="7" t="inlineStr">
        <is>
          <t>[RULE-ANGLE-002] Un angle assigné à un pool est interdit dans les autres pools.</t>
        </is>
      </c>
    </row>
    <row r="14">
      <c r="A14" s="7" t="inlineStr">
        <is>
          <t>STATUS_STANDARD</t>
        </is>
      </c>
      <c r="B14" s="7" t="inlineStr">
        <is>
          <t>Liste officielle des statuts documentaires autorisés.</t>
        </is>
      </c>
      <c r="C14" s="7" t="inlineStr">
        <is>
          <t>[RULE-STATUS-001] Tout autre format de statut est interdit.</t>
        </is>
      </c>
    </row>
    <row r="15">
      <c r="A15" s="7" t="inlineStr">
        <is>
          <t>TOKEN_OPTIMIZATION_MONITORING</t>
        </is>
      </c>
      <c r="B15" s="7" t="inlineStr">
        <is>
          <t>Comportement obligatoire de signalement des opportunités de réduction de tokens avant chaque action ou tool call.</t>
        </is>
      </c>
      <c r="C15" s="7" t="inlineStr">
        <is>
          <t>[RULE-TOKEN-MONITOR-001] CLAUDE SIGNALE CHAQUE OPPORTUNITÉ TOKEN — comportement obligatoire, tous contextes.</t>
        </is>
      </c>
    </row>
    <row r="16">
      <c r="A16" s="7" t="inlineStr">
        <is>
          <t>DECISION_GATE</t>
        </is>
      </c>
      <c r="B16" s="7" t="inlineStr">
        <is>
          <t>Mécanisme de validation B3 après PASS 2, avant PASS 3 ou export.</t>
        </is>
      </c>
      <c r="C16" s="7" t="inlineStr">
        <is>
          <t>[RULE-HB-DIST-004] ---</t>
        </is>
      </c>
    </row>
    <row r="18">
      <c r="A18" s="8" t="inlineStr">
        <is>
          <t>⚠ ALERTES — TERMES POTENTIELLEMENT MANQUANTS</t>
        </is>
      </c>
    </row>
    <row r="19">
      <c r="A19" s="10" t="inlineStr">
        <is>
          <t>L'IA consigne ici tout terme utilisé dans cette étape mais absent du glossaire source.</t>
        </is>
      </c>
    </row>
    <row r="20">
      <c r="A20" s="7" t="inlineStr">
        <is>
          <t>Aucune alerte automatique — vérification manuelle recommandée à chaque étape</t>
        </is>
      </c>
    </row>
    <row r="22">
      <c r="A22" s="10" t="inlineStr">
        <is>
          <t>sync_glossaire.py — dernière exécution automatique — 2026-05-21</t>
        </is>
      </c>
    </row>
  </sheetData>
  <mergeCells count="5">
    <mergeCell ref="A19:C19"/>
    <mergeCell ref="A1:C1"/>
    <mergeCell ref="A22:C22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2026-05-21T10:40:54Z</dcterms:modified>
</cp:coreProperties>
</file>